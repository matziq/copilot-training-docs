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/>
  <mc:AlternateContent xmlns:mc="http://schemas.openxmlformats.org/markup-compatibility/2006">
    <mc:Choice Requires="x15">
      <x15ac:absPath xmlns:x15ac="http://schemas.microsoft.com/office/spreadsheetml/2010/11/ac" url="https://microsoft-my.sharepoint-df.com/personal/jorea_microsoft_com/Documents/Copilot/Customers/Estee/ELC_M365_Copilot_Training_Suppy_Chain_08_24_26/"/>
    </mc:Choice>
  </mc:AlternateContent>
  <xr:revisionPtr revIDLastSave="1" documentId="11_172FC26E7115231F2756ADC09B778F3C5C6A92A8" xr6:coauthVersionLast="47" xr6:coauthVersionMax="47" xr10:uidLastSave="{DC59802C-4A6C-4B56-8886-D1097A6C9DEC}"/>
  <bookViews>
    <workbookView xWindow="-120" yWindow="-120" windowWidth="29040" windowHeight="15720" xr2:uid="{00000000-000D-0000-FFFF-FFFF00000000}"/>
  </bookViews>
  <sheets>
    <sheet name="Exposure" sheetId="1" r:id="rId1"/>
    <sheet name="Claim_Audit" sheetId="2" r:id="rId2"/>
    <sheet name="Negotiation_Ladder" sheetId="3" r:id="rId3"/>
    <sheet name="Risk_Tripwires" sheetId="4" r:id="rId4"/>
    <sheet name="Executive_Snapshot" sheetId="5" r:id="rId5"/>
    <sheet name="Data_Dictionary" sheetId="6" r:id="rId6"/>
  </sheets>
  <definedNames>
    <definedName name="_xlnm._FilterDatabase" localSheetId="1" hidden="1">Claim_Audit!$A$3:$L$10</definedName>
    <definedName name="_xlnm._FilterDatabase" localSheetId="5" hidden="1">Data_Dictionary!$A$3:$E$10</definedName>
    <definedName name="_xlnm._FilterDatabase" localSheetId="0" hidden="1">Exposure!$A$3:$L$13</definedName>
    <definedName name="_xlnm._FilterDatabase" localSheetId="2" hidden="1">Negotiation_Ladder!$A$3:$H$8</definedName>
    <definedName name="_xlnm._FilterDatabase" localSheetId="3" hidden="1">Risk_Tripwires!$A$3:$L$9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5" l="1"/>
  <c r="E9" i="4"/>
  <c r="E8" i="4"/>
  <c r="E7" i="4"/>
  <c r="E6" i="4"/>
  <c r="E5" i="4"/>
  <c r="E4" i="4"/>
  <c r="G13" i="1"/>
  <c r="L13" i="1" s="1"/>
  <c r="G12" i="1"/>
  <c r="L12" i="1" s="1"/>
  <c r="G11" i="1"/>
  <c r="L11" i="1" s="1"/>
  <c r="E10" i="2" s="1"/>
  <c r="G10" i="2" s="1"/>
  <c r="G10" i="1"/>
  <c r="L10" i="1" s="1"/>
  <c r="G9" i="1"/>
  <c r="L9" i="1" s="1"/>
  <c r="E9" i="2" s="1"/>
  <c r="G9" i="2" s="1"/>
  <c r="G8" i="1"/>
  <c r="G7" i="1"/>
  <c r="G6" i="1"/>
  <c r="G5" i="1"/>
  <c r="G4" i="1"/>
  <c r="B9" i="5" l="1"/>
  <c r="G15" i="1"/>
  <c r="B4" i="5"/>
  <c r="F8" i="2"/>
  <c r="L8" i="1"/>
  <c r="E8" i="2" s="1"/>
  <c r="L7" i="1"/>
  <c r="E7" i="2" s="1"/>
  <c r="F7" i="2"/>
  <c r="L6" i="1"/>
  <c r="E6" i="2" s="1"/>
  <c r="F6" i="2"/>
  <c r="L5" i="1"/>
  <c r="E5" i="2" s="1"/>
  <c r="F5" i="2"/>
  <c r="L4" i="1"/>
  <c r="F4" i="2"/>
  <c r="G8" i="2" l="1"/>
  <c r="G5" i="2"/>
  <c r="L15" i="1"/>
  <c r="E4" i="2"/>
  <c r="F12" i="2"/>
  <c r="B6" i="5"/>
  <c r="G7" i="2"/>
  <c r="G6" i="2"/>
  <c r="G4" i="2" l="1"/>
  <c r="E12" i="2"/>
  <c r="B5" i="5"/>
  <c r="B7" i="5" l="1"/>
  <c r="G12" i="2"/>
</calcChain>
</file>

<file path=xl/sharedStrings.xml><?xml version="1.0" encoding="utf-8"?>
<sst xmlns="http://schemas.openxmlformats.org/spreadsheetml/2006/main" count="299" uniqueCount="243">
  <si>
    <t>Supplier Exposure</t>
  </si>
  <si>
    <t>SKU</t>
  </si>
  <si>
    <t>Component</t>
  </si>
  <si>
    <t>Origin</t>
  </si>
  <si>
    <t>Route</t>
  </si>
  <si>
    <t>Annual Units</t>
  </si>
  <si>
    <t>Unit Price</t>
  </si>
  <si>
    <t>Annual Spend</t>
  </si>
  <si>
    <t>Weeks Supply</t>
  </si>
  <si>
    <t>Criticality</t>
  </si>
  <si>
    <t>Qualified Alternate</t>
  </si>
  <si>
    <t>Supplier Increase</t>
  </si>
  <si>
    <t>Claimed Annual Impact</t>
  </si>
  <si>
    <t>AB-GLS-50</t>
  </si>
  <si>
    <t>50 ml decorated glass bottle</t>
  </si>
  <si>
    <t>Egypt</t>
  </si>
  <si>
    <t>Alexandria-Suez-Newark</t>
  </si>
  <si>
    <t>Launch critical</t>
  </si>
  <si>
    <t>Yes - 16 weeks</t>
  </si>
  <si>
    <t>AB-GLS-30</t>
  </si>
  <si>
    <t>30 ml decorated glass bottle</t>
  </si>
  <si>
    <t>High</t>
  </si>
  <si>
    <t>Yes - 12 weeks</t>
  </si>
  <si>
    <t>AB-ALC-01</t>
  </si>
  <si>
    <t>Anodized aluminum collar</t>
  </si>
  <si>
    <t>Italy</t>
  </si>
  <si>
    <t>Genoa-Newark</t>
  </si>
  <si>
    <t>No until Nov.</t>
  </si>
  <si>
    <t>AB-ACT-02</t>
  </si>
  <si>
    <t>Plastic actuator assembly</t>
  </si>
  <si>
    <t>China</t>
  </si>
  <si>
    <t>Shanghai-LA</t>
  </si>
  <si>
    <t>Partial</t>
  </si>
  <si>
    <t>AB-ACT-03</t>
  </si>
  <si>
    <t>Premium actuator assembly</t>
  </si>
  <si>
    <t>No</t>
  </si>
  <si>
    <t>AB-PMP-01</t>
  </si>
  <si>
    <t>Pump engine</t>
  </si>
  <si>
    <t>Germany</t>
  </si>
  <si>
    <t>Hamburg-Newark</t>
  </si>
  <si>
    <t>Medium</t>
  </si>
  <si>
    <t>Yes</t>
  </si>
  <si>
    <t>AB-CAP-01</t>
  </si>
  <si>
    <t>Overcap</t>
  </si>
  <si>
    <t>France</t>
  </si>
  <si>
    <t>Le Havre-Newark</t>
  </si>
  <si>
    <t>Low</t>
  </si>
  <si>
    <t>AB-DSP-01</t>
  </si>
  <si>
    <t>Airless dispenser</t>
  </si>
  <si>
    <t>AB-JAR-50</t>
  </si>
  <si>
    <t>50 ml prestige jar</t>
  </si>
  <si>
    <t>Poland</t>
  </si>
  <si>
    <t>Gdansk-Newark</t>
  </si>
  <si>
    <t>AB-LBL-01</t>
  </si>
  <si>
    <t>Foil label</t>
  </si>
  <si>
    <t>United States</t>
  </si>
  <si>
    <t>Domestic truck</t>
  </si>
  <si>
    <t>TOTAL</t>
  </si>
  <si>
    <t>Claimed impact</t>
  </si>
  <si>
    <t>Supplier Claim Audit</t>
  </si>
  <si>
    <t>Fictional calculations designed to reveal unsupported, duplicated, or expired claims</t>
  </si>
  <si>
    <t>Supplier Basis</t>
  </si>
  <si>
    <t>Claim %</t>
  </si>
  <si>
    <t>Aurelia Supported %</t>
  </si>
  <si>
    <t>Claimed $</t>
  </si>
  <si>
    <t>Supported $</t>
  </si>
  <si>
    <t>Gap $</t>
  </si>
  <si>
    <t>Contract Test</t>
  </si>
  <si>
    <t>Evidence Status</t>
  </si>
  <si>
    <t>Recommended Disposition</t>
  </si>
  <si>
    <t>Confidence</t>
  </si>
  <si>
    <t>Owner</t>
  </si>
  <si>
    <t>Cape reroute + war risk</t>
  </si>
  <si>
    <t>5.3 index/baseline; 7.3 mitigation</t>
  </si>
  <si>
    <t>Carrier quote; baseline available</t>
  </si>
  <si>
    <t>Counter with indexed 3.2%, quarterly reset</t>
  </si>
  <si>
    <t>Category manager</t>
  </si>
  <si>
    <t>5.3 baseline; 4.5 no double recovery</t>
  </si>
  <si>
    <t>No baseline; insurance may duplicate quote</t>
  </si>
  <si>
    <t>Hold pending carrier and insurance proof</t>
  </si>
  <si>
    <t>Logistics</t>
  </si>
  <si>
    <t>Section 232 on full value</t>
  </si>
  <si>
    <t>4.4 direct/actually paid; 12.4 audit</t>
  </si>
  <si>
    <t>Metal-content value not supplied</t>
  </si>
  <si>
    <t>Allow verified metal-content impact only</t>
  </si>
  <si>
    <t>Trade compliance</t>
  </si>
  <si>
    <t>Section 301</t>
  </si>
  <si>
    <t>4.4 direct/actually paid</t>
  </si>
  <si>
    <t>Ten-digit HTS missing; plausible scope</t>
  </si>
  <si>
    <t>Conditional pending entry/HTS proof</t>
  </si>
  <si>
    <t>25% Section 301 + expired 10% surcharge</t>
  </si>
  <si>
    <t>4.4 effective duty; 4.5 no double recovery</t>
  </si>
  <si>
    <t>10% Section 122 expired July 24</t>
  </si>
  <si>
    <t>Reject expired 10%; verify remaining 25%</t>
  </si>
  <si>
    <t>Capacity reservation</t>
  </si>
  <si>
    <t>4.2 firm pricing; 12.4 audit</t>
  </si>
  <si>
    <t>No third-party invoice</t>
  </si>
  <si>
    <t>Reject without evidence and reciprocal commitment</t>
  </si>
  <si>
    <t>Portfolio tariff allocation</t>
  </si>
  <si>
    <t>4.4 directly attributable</t>
  </si>
  <si>
    <t>No itemized duty; Italy origin</t>
  </si>
  <si>
    <t>Reject portfolio allocation</t>
  </si>
  <si>
    <t>Negotiation Control Tower</t>
  </si>
  <si>
    <t>Editable preparation sheet: objectives, give-get ladder, and authority guardrails</t>
  </si>
  <si>
    <t>Priority</t>
  </si>
  <si>
    <t>Aurelia Need</t>
  </si>
  <si>
    <t>Target</t>
  </si>
  <si>
    <t>Minimum / Walk-Away</t>
  </si>
  <si>
    <t>Supplier Likely Interest</t>
  </si>
  <si>
    <t>Potential Give</t>
  </si>
  <si>
    <t>Required Get</t>
  </si>
  <si>
    <t>Authority / Approval</t>
  </si>
  <si>
    <t>Protect Q4 launch allocation</t>
  </si>
  <si>
    <t>100% allocation + weekly recovery updates</t>
  </si>
  <si>
    <t>No less than 95% launch allocation</t>
  </si>
  <si>
    <t>Volume certainty</t>
  </si>
  <si>
    <t>12-month volume signal</t>
  </si>
  <si>
    <t>Priority allocation + recovery plan</t>
  </si>
  <si>
    <t>GSM lead</t>
  </si>
  <si>
    <t>Limit unsupported pass-through</t>
  </si>
  <si>
    <t>Verified SKU-level cost only</t>
  </si>
  <si>
    <t>No expired or undocumented charges</t>
  </si>
  <si>
    <t>Fast approval</t>
  </si>
  <si>
    <t>Accelerated review</t>
  </si>
  <si>
    <t>Customs/carrier evidence + audit</t>
  </si>
  <si>
    <t>Create downward reset</t>
  </si>
  <si>
    <t>Quarterly two-way index reset</t>
  </si>
  <si>
    <t>Six-month sunset</t>
  </si>
  <si>
    <t>Margin protection</t>
  </si>
  <si>
    <t>Floor within agreed band</t>
  </si>
  <si>
    <t>Cap + two-way reset + sunset</t>
  </si>
  <si>
    <t>Finance if &gt;3%</t>
  </si>
  <si>
    <t>Improve continuity</t>
  </si>
  <si>
    <t>Qualified alternate by Nov. 30</t>
  </si>
  <si>
    <t>Documented dual-source plan</t>
  </si>
  <si>
    <t>Longer-term award</t>
  </si>
  <si>
    <t>Conditional future-volume option</t>
  </si>
  <si>
    <t>Qualification milestones + owner</t>
  </si>
  <si>
    <t>Supply chain</t>
  </si>
  <si>
    <t>Avoid precedent</t>
  </si>
  <si>
    <t>SKU-specific side letter</t>
  </si>
  <si>
    <t>No portfolio-wide adjustment</t>
  </si>
  <si>
    <t>Simple administration</t>
  </si>
  <si>
    <t>One consolidated review cadence</t>
  </si>
  <si>
    <t>No waiver / no precedent language</t>
  </si>
  <si>
    <t>Legal</t>
  </si>
  <si>
    <t>Risk Tripwires</t>
  </si>
  <si>
    <t>Measurable triggers that convert monitoring into action</t>
  </si>
  <si>
    <t>Risk</t>
  </si>
  <si>
    <t>Exposure</t>
  </si>
  <si>
    <t>Likelihood</t>
  </si>
  <si>
    <t>Impact</t>
  </si>
  <si>
    <t>Score</t>
  </si>
  <si>
    <t>Leading Indicator</t>
  </si>
  <si>
    <t>Trigger Threshold</t>
  </si>
  <si>
    <t>Action</t>
  </si>
  <si>
    <t>Decision Date</t>
  </si>
  <si>
    <t>Status</t>
  </si>
  <si>
    <t>Evidence Source</t>
  </si>
  <si>
    <t>Egypt glass route delay</t>
  </si>
  <si>
    <t>Radiant Veil launch</t>
  </si>
  <si>
    <t>Confirmed vessel routing / ETA variance</t>
  </si>
  <si>
    <t>&gt;7 days vs. baseline</t>
  </si>
  <si>
    <t>Reallocate glass and book alternate slot</t>
  </si>
  <si>
    <t>Open</t>
  </si>
  <si>
    <t>Carrier schedule</t>
  </si>
  <si>
    <t>Aluminum collar shortfall</t>
  </si>
  <si>
    <t>No qualified alternate</t>
  </si>
  <si>
    <t>Weekly production attainment</t>
  </si>
  <si>
    <t>&lt;95% for two weeks</t>
  </si>
  <si>
    <t>Executive allocation escalation</t>
  </si>
  <si>
    <t>Supplier recovery plan</t>
  </si>
  <si>
    <t>Unsupported tariff pass-through</t>
  </si>
  <si>
    <t>Margin and precedent</t>
  </si>
  <si>
    <t>Missing HTS/entry/value evidence</t>
  </si>
  <si>
    <t>Any line &gt;$25K unverified</t>
  </si>
  <si>
    <t>Hold approval; customs review</t>
  </si>
  <si>
    <t>Claim audit</t>
  </si>
  <si>
    <t>Duplicate freight recovery</t>
  </si>
  <si>
    <t>Landed cost</t>
  </si>
  <si>
    <t>Insurance embedded in carrier quote</t>
  </si>
  <si>
    <t>Same cost in two charges</t>
  </si>
  <si>
    <t>Reject duplicate; require baseline</t>
  </si>
  <si>
    <t>Carrier/insurance invoices</t>
  </si>
  <si>
    <t>Launch allocation diversion</t>
  </si>
  <si>
    <t>Retailer set date</t>
  </si>
  <si>
    <t>Supplier allocation notice</t>
  </si>
  <si>
    <t>&lt;95% confirmed allocation</t>
  </si>
  <si>
    <t>Invoke 7.1; leadership escalation</t>
  </si>
  <si>
    <t>Allocation confirmation</t>
  </si>
  <si>
    <t>Alternate qualification slip</t>
  </si>
  <si>
    <t>Long-term resilience</t>
  </si>
  <si>
    <t>Tooling/sample milestones</t>
  </si>
  <si>
    <t>&gt;10 business days late</t>
  </si>
  <si>
    <t>Fund expedite or second alternate</t>
  </si>
  <si>
    <t>Engineering</t>
  </si>
  <si>
    <t>Monitor</t>
  </si>
  <si>
    <t>Qualification tracker</t>
  </si>
  <si>
    <t>Executive Snapshot</t>
  </si>
  <si>
    <t>Decision-ready summary; formulas link to the claim audit</t>
  </si>
  <si>
    <t>Annual supplier spend</t>
  </si>
  <si>
    <t>Supplier claimed annual impact</t>
  </si>
  <si>
    <t>Aurelia supported annual impact</t>
  </si>
  <si>
    <t>Challengeable gap</t>
  </si>
  <si>
    <t>Launch-critical SKUs under 8 weeks</t>
  </si>
  <si>
    <t>Highest risk score</t>
  </si>
  <si>
    <t>Recommended negotiation posture</t>
  </si>
  <si>
    <t>Accept verified, SKU-level incremental costs only. Trade a conditional volume signal for launch allocation, audit rights, a capped two-way quarterly reset, and supplier-funded alternate qualification milestones.</t>
  </si>
  <si>
    <t>Data Dictionary</t>
  </si>
  <si>
    <t>Definitions, provenance, and explicit scenario assumptions</t>
  </si>
  <si>
    <t>Sheet</t>
  </si>
  <si>
    <t>Field / Range</t>
  </si>
  <si>
    <t>Definition</t>
  </si>
  <si>
    <t>Type</t>
  </si>
  <si>
    <t>Provenance / Guardrail</t>
  </si>
  <si>
    <t>Annual Units / Unit Price</t>
  </si>
  <si>
    <t>Fictional annualized demand and current contracted price</t>
  </si>
  <si>
    <t>Scenario assumption</t>
  </si>
  <si>
    <t>Do not represent as ELC or supplier actuals</t>
  </si>
  <si>
    <t>Annual spend multiplied by supplier requested increase</t>
  </si>
  <si>
    <t>Formula</t>
  </si>
  <si>
    <t>Directional annualization only</t>
  </si>
  <si>
    <t>Claim_Audit</t>
  </si>
  <si>
    <t>Training estimate after applying evidence and contract tests</t>
  </si>
  <si>
    <t>Requires customs, finance, logistics, and legal review</t>
  </si>
  <si>
    <t>Confidence in recommended disposition based on supplied evidence</t>
  </si>
  <si>
    <t>Analyst judgment</t>
  </si>
  <si>
    <t>Not a probability</t>
  </si>
  <si>
    <t>Risk_Tripwires</t>
  </si>
  <si>
    <t>Likelihood / Impact</t>
  </si>
  <si>
    <t>1-5 ordinal ratings</t>
  </si>
  <si>
    <t>Scores prioritize discussion; they do not quantify loss</t>
  </si>
  <si>
    <t>External brief</t>
  </si>
  <si>
    <t>Tariff and shipping facts</t>
  </si>
  <si>
    <t>Authoritative public-source facts as of Aug. 17, 2026</t>
  </si>
  <si>
    <t>Verified external fact</t>
  </si>
  <si>
    <t>Check for changes before real-world use</t>
  </si>
  <si>
    <t>All sheets</t>
  </si>
  <si>
    <t>Supplier and company names</t>
  </si>
  <si>
    <t>Aurelia Beauty Group and Orion Luxe Components</t>
  </si>
  <si>
    <t>Fictional</t>
  </si>
  <si>
    <t>Created solely for training</t>
  </si>
  <si>
    <t>SKU-level data for the Aurelia–Orion negotiation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</si>
</sst>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0.00"/>
    <numFmt numFmtId="165" formatCode="\$#,##0"/>
    <numFmt numFmtId="166" formatCode="0.0%"/>
    <numFmt numFmtId="167" formatCode="mmm\ d\,\ yyyy"/>
  </numFmts>
  <fonts count="8" x14ac:knownFonts="1">
    <font>
      <sz val="11"/>
      <color theme="1"/>
      <name val="Calibri"/>
      <family val="2"/>
      <scheme val="minor"/>
    </font>
    <font>
      <b/>
      <sz val="20"/>
      <color rgb="FFFFFFFF"/>
      <name val="Aptos Display"/>
    </font>
    <font>
      <i/>
      <sz val="10"/>
      <color rgb="FF606277"/>
      <name val="Aptos"/>
    </font>
    <font>
      <b/>
      <sz val="11"/>
      <color rgb="FFFFFFFF"/>
      <name val="Aptos"/>
    </font>
    <font>
      <sz val="9"/>
      <color rgb="FF17182B"/>
      <name val="Aptos"/>
    </font>
    <font>
      <b/>
      <sz val="11"/>
      <color rgb="FF06123B"/>
      <name val="Aptos"/>
    </font>
    <font>
      <b/>
      <sz val="18"/>
      <color rgb="FFB11F4B"/>
      <name val="Aptos Display"/>
    </font>
    <font>
      <b/>
      <sz val="14"/>
      <color rgb="FF06123B"/>
      <name val="Aptos Display"/>
    </font>
  </fonts>
  <fills count="7">
    <fill>
      <patternFill patternType="none"/>
    </fill>
    <fill>
      <patternFill patternType="gray125"/>
    </fill>
    <fill>
      <patternFill patternType="solid">
        <fgColor rgb="FF06123B"/>
      </patternFill>
    </fill>
    <fill>
      <patternFill patternType="solid">
        <fgColor rgb="FFF1F2F7"/>
      </patternFill>
    </fill>
    <fill>
      <patternFill patternType="solid">
        <fgColor rgb="FFFFFFFF"/>
      </patternFill>
    </fill>
    <fill>
      <patternFill patternType="solid">
        <fgColor rgb="FF9EAFFF"/>
      </patternFill>
    </fill>
    <fill>
      <patternFill patternType="solid">
        <fgColor rgb="FFE8EBFF"/>
      </patternFill>
    </fill>
  </fills>
  <borders count="2">
    <border>
      <left/>
      <right/>
      <top/>
      <bottom/>
      <diagonal/>
    </border>
    <border>
      <left style="thin">
        <color rgb="FFD9DAE5"/>
      </left>
      <right style="thin">
        <color rgb="FFD9DAE5"/>
      </right>
      <top style="thin">
        <color rgb="FFD9DAE5"/>
      </top>
      <bottom style="thin">
        <color rgb="FFD9DAE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164" fontId="4" fillId="3" borderId="1" xfId="0" applyNumberFormat="1" applyFont="1" applyFill="1" applyBorder="1" applyAlignment="1">
      <alignment vertical="top" wrapText="1"/>
    </xf>
    <xf numFmtId="165" fontId="4" fillId="3" borderId="1" xfId="0" applyNumberFormat="1" applyFont="1" applyFill="1" applyBorder="1" applyAlignment="1">
      <alignment vertical="top" wrapText="1"/>
    </xf>
    <xf numFmtId="166" fontId="4" fillId="3" borderId="1" xfId="0" applyNumberFormat="1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164" fontId="4" fillId="4" borderId="1" xfId="0" applyNumberFormat="1" applyFont="1" applyFill="1" applyBorder="1" applyAlignment="1">
      <alignment vertical="top" wrapText="1"/>
    </xf>
    <xf numFmtId="165" fontId="4" fillId="4" borderId="1" xfId="0" applyNumberFormat="1" applyFont="1" applyFill="1" applyBorder="1" applyAlignment="1">
      <alignment vertical="top" wrapText="1"/>
    </xf>
    <xf numFmtId="166" fontId="4" fillId="4" borderId="1" xfId="0" applyNumberFormat="1" applyFont="1" applyFill="1" applyBorder="1" applyAlignment="1">
      <alignment vertical="top" wrapText="1"/>
    </xf>
    <xf numFmtId="0" fontId="5" fillId="5" borderId="1" xfId="0" applyFont="1" applyFill="1" applyBorder="1"/>
    <xf numFmtId="165" fontId="5" fillId="5" borderId="1" xfId="0" applyNumberFormat="1" applyFont="1" applyFill="1" applyBorder="1"/>
    <xf numFmtId="167" fontId="4" fillId="3" borderId="1" xfId="0" applyNumberFormat="1" applyFont="1" applyFill="1" applyBorder="1" applyAlignment="1">
      <alignment vertical="top" wrapText="1"/>
    </xf>
    <xf numFmtId="167" fontId="4" fillId="4" borderId="1" xfId="0" applyNumberFormat="1" applyFont="1" applyFill="1" applyBorder="1" applyAlignment="1">
      <alignment vertical="top" wrapText="1"/>
    </xf>
    <xf numFmtId="0" fontId="5" fillId="3" borderId="1" xfId="0" applyFont="1" applyFill="1" applyBorder="1" applyAlignment="1">
      <alignment vertical="center"/>
    </xf>
    <xf numFmtId="165" fontId="6" fillId="3" borderId="1" xfId="0" applyNumberFormat="1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165" fontId="6" fillId="4" borderId="1" xfId="0" applyNumberFormat="1" applyFont="1" applyFill="1" applyBorder="1" applyAlignment="1">
      <alignment vertical="center"/>
    </xf>
    <xf numFmtId="1" fontId="6" fillId="3" borderId="1" xfId="0" applyNumberFormat="1" applyFont="1" applyFill="1" applyBorder="1" applyAlignment="1">
      <alignment vertical="center"/>
    </xf>
    <xf numFmtId="1" fontId="6" fillId="4" borderId="1" xfId="0" applyNumberFormat="1" applyFont="1" applyFill="1" applyBorder="1" applyAlignment="1">
      <alignment vertical="center"/>
    </xf>
    <xf numFmtId="0" fontId="7" fillId="0" borderId="0" xfId="0" applyFont="1"/>
    <xf numFmtId="0" fontId="2" fillId="0" borderId="0" xfId="0" applyFont="1"/>
    <xf numFmtId="0" fontId="0" fillId="0" borderId="0" xfId="0"/>
    <xf numFmtId="0" fontId="1" fillId="2" borderId="0" xfId="0" applyFont="1" applyFill="1" applyAlignment="1">
      <alignment vertical="center"/>
    </xf>
    <xf numFmtId="0" fontId="0" fillId="6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Risk score by exposure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Risk_Tripwires!$E$3</c:f>
              <c:strCache>
                <c:ptCount val="1"/>
                <c:pt idx="0">
                  <c:v>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Risk_Tripwires!$A$4:$A$9</c:f>
              <c:strCache>
                <c:ptCount val="6"/>
                <c:pt idx="0">
                  <c:v>Egypt glass route delay</c:v>
                </c:pt>
                <c:pt idx="1">
                  <c:v>Aluminum collar shortfall</c:v>
                </c:pt>
                <c:pt idx="2">
                  <c:v>Unsupported tariff pass-through</c:v>
                </c:pt>
                <c:pt idx="3">
                  <c:v>Duplicate freight recovery</c:v>
                </c:pt>
                <c:pt idx="4">
                  <c:v>Launch allocation diversion</c:v>
                </c:pt>
                <c:pt idx="5">
                  <c:v>Alternate qualification slip</c:v>
                </c:pt>
              </c:strCache>
            </c:strRef>
          </c:cat>
          <c:val>
            <c:numRef>
              <c:f>Risk_Tripwires!$E$4:$E$9</c:f>
              <c:numCache>
                <c:formatCode>General</c:formatCode>
                <c:ptCount val="6"/>
                <c:pt idx="0">
                  <c:v>20</c:v>
                </c:pt>
                <c:pt idx="1">
                  <c:v>15</c:v>
                </c:pt>
                <c:pt idx="2">
                  <c:v>16</c:v>
                </c:pt>
                <c:pt idx="3">
                  <c:v>9</c:v>
                </c:pt>
                <c:pt idx="4">
                  <c:v>10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8-444D-BE87-02E0FBCB7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Risk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showGridLines="0" tabSelected="1" workbookViewId="0">
      <pane ySplit="3" topLeftCell="A4" activePane="bottomLeft" state="frozen"/>
      <selection pane="bottomLeft" activeCell="A2" sqref="A2:L2"/>
    </sheetView>
  </sheetViews>
  <sheetFormatPr defaultRowHeight="15" x14ac:dyDescent="0.25"/>
  <cols>
    <col min="1" max="1" width="15" customWidth="1"/>
    <col min="2" max="2" width="27" customWidth="1"/>
    <col min="3" max="3" width="14" customWidth="1"/>
    <col min="4" max="4" width="26" customWidth="1"/>
    <col min="5" max="5" width="13" customWidth="1"/>
    <col min="6" max="6" width="12" customWidth="1"/>
    <col min="7" max="7" width="15" customWidth="1"/>
    <col min="8" max="8" width="12" customWidth="1"/>
    <col min="9" max="9" width="16" customWidth="1"/>
    <col min="10" max="10" width="19" customWidth="1"/>
    <col min="11" max="11" width="16" customWidth="1"/>
    <col min="12" max="12" width="19" customWidth="1"/>
  </cols>
  <sheetData>
    <row r="1" spans="1:12" ht="33.950000000000003" customHeight="1" x14ac:dyDescent="0.25">
      <c r="A1" s="23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24" customHeight="1" x14ac:dyDescent="0.25">
      <c r="A2" s="21" t="s">
        <v>242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ht="30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 x14ac:dyDescent="0.25">
      <c r="A4" s="2" t="s">
        <v>13</v>
      </c>
      <c r="B4" s="2" t="s">
        <v>14</v>
      </c>
      <c r="C4" s="2" t="s">
        <v>15</v>
      </c>
      <c r="D4" s="2" t="s">
        <v>16</v>
      </c>
      <c r="E4" s="2">
        <v>1200000</v>
      </c>
      <c r="F4" s="3">
        <v>0.82</v>
      </c>
      <c r="G4" s="4">
        <f t="shared" ref="G4:G13" si="0">E4*F4</f>
        <v>983999.99999999988</v>
      </c>
      <c r="H4" s="2">
        <v>6</v>
      </c>
      <c r="I4" s="2" t="s">
        <v>17</v>
      </c>
      <c r="J4" s="2" t="s">
        <v>18</v>
      </c>
      <c r="K4" s="5">
        <v>0.06</v>
      </c>
      <c r="L4" s="4">
        <f t="shared" ref="L4:L13" si="1">G4*K4</f>
        <v>59039.999999999993</v>
      </c>
    </row>
    <row r="5" spans="1:12" x14ac:dyDescent="0.25">
      <c r="A5" s="6" t="s">
        <v>19</v>
      </c>
      <c r="B5" s="6" t="s">
        <v>20</v>
      </c>
      <c r="C5" s="6" t="s">
        <v>15</v>
      </c>
      <c r="D5" s="6" t="s">
        <v>16</v>
      </c>
      <c r="E5" s="6">
        <v>800000</v>
      </c>
      <c r="F5" s="7">
        <v>0.68</v>
      </c>
      <c r="G5" s="8">
        <f t="shared" si="0"/>
        <v>544000</v>
      </c>
      <c r="H5" s="6">
        <v>7</v>
      </c>
      <c r="I5" s="6" t="s">
        <v>21</v>
      </c>
      <c r="J5" s="6" t="s">
        <v>22</v>
      </c>
      <c r="K5" s="9">
        <v>7.4999999999999997E-2</v>
      </c>
      <c r="L5" s="8">
        <f t="shared" si="1"/>
        <v>40800</v>
      </c>
    </row>
    <row r="6" spans="1:12" x14ac:dyDescent="0.25">
      <c r="A6" s="2" t="s">
        <v>23</v>
      </c>
      <c r="B6" s="2" t="s">
        <v>24</v>
      </c>
      <c r="C6" s="2" t="s">
        <v>25</v>
      </c>
      <c r="D6" s="2" t="s">
        <v>26</v>
      </c>
      <c r="E6" s="2">
        <v>2000000</v>
      </c>
      <c r="F6" s="3">
        <v>0.23</v>
      </c>
      <c r="G6" s="4">
        <f t="shared" si="0"/>
        <v>460000</v>
      </c>
      <c r="H6" s="2">
        <v>5</v>
      </c>
      <c r="I6" s="2" t="s">
        <v>17</v>
      </c>
      <c r="J6" s="2" t="s">
        <v>27</v>
      </c>
      <c r="K6" s="5">
        <v>0.11</v>
      </c>
      <c r="L6" s="4">
        <f t="shared" si="1"/>
        <v>50600</v>
      </c>
    </row>
    <row r="7" spans="1:12" x14ac:dyDescent="0.25">
      <c r="A7" s="6" t="s">
        <v>28</v>
      </c>
      <c r="B7" s="6" t="s">
        <v>29</v>
      </c>
      <c r="C7" s="6" t="s">
        <v>30</v>
      </c>
      <c r="D7" s="6" t="s">
        <v>31</v>
      </c>
      <c r="E7" s="6">
        <v>1400000</v>
      </c>
      <c r="F7" s="7">
        <v>0.19</v>
      </c>
      <c r="G7" s="8">
        <f t="shared" si="0"/>
        <v>266000</v>
      </c>
      <c r="H7" s="6">
        <v>9</v>
      </c>
      <c r="I7" s="6" t="s">
        <v>21</v>
      </c>
      <c r="J7" s="6" t="s">
        <v>32</v>
      </c>
      <c r="K7" s="9">
        <v>0.25</v>
      </c>
      <c r="L7" s="8">
        <f t="shared" si="1"/>
        <v>66500</v>
      </c>
    </row>
    <row r="8" spans="1:12" x14ac:dyDescent="0.25">
      <c r="A8" s="2" t="s">
        <v>33</v>
      </c>
      <c r="B8" s="2" t="s">
        <v>34</v>
      </c>
      <c r="C8" s="2" t="s">
        <v>30</v>
      </c>
      <c r="D8" s="2" t="s">
        <v>31</v>
      </c>
      <c r="E8" s="2">
        <v>600000</v>
      </c>
      <c r="F8" s="3">
        <v>0.31</v>
      </c>
      <c r="G8" s="4">
        <f t="shared" si="0"/>
        <v>186000</v>
      </c>
      <c r="H8" s="2">
        <v>8</v>
      </c>
      <c r="I8" s="2" t="s">
        <v>21</v>
      </c>
      <c r="J8" s="2" t="s">
        <v>35</v>
      </c>
      <c r="K8" s="5">
        <v>0.35</v>
      </c>
      <c r="L8" s="4">
        <f t="shared" si="1"/>
        <v>65099.999999999993</v>
      </c>
    </row>
    <row r="9" spans="1:12" x14ac:dyDescent="0.25">
      <c r="A9" s="6" t="s">
        <v>36</v>
      </c>
      <c r="B9" s="6" t="s">
        <v>37</v>
      </c>
      <c r="C9" s="6" t="s">
        <v>38</v>
      </c>
      <c r="D9" s="6" t="s">
        <v>39</v>
      </c>
      <c r="E9" s="6">
        <v>2000000</v>
      </c>
      <c r="F9" s="7">
        <v>0.42</v>
      </c>
      <c r="G9" s="8">
        <f t="shared" si="0"/>
        <v>840000</v>
      </c>
      <c r="H9" s="6">
        <v>11</v>
      </c>
      <c r="I9" s="6" t="s">
        <v>40</v>
      </c>
      <c r="J9" s="6" t="s">
        <v>41</v>
      </c>
      <c r="K9" s="9">
        <v>0.04</v>
      </c>
      <c r="L9" s="8">
        <f t="shared" si="1"/>
        <v>33600</v>
      </c>
    </row>
    <row r="10" spans="1:12" x14ac:dyDescent="0.25">
      <c r="A10" s="2" t="s">
        <v>42</v>
      </c>
      <c r="B10" s="2" t="s">
        <v>43</v>
      </c>
      <c r="C10" s="2" t="s">
        <v>44</v>
      </c>
      <c r="D10" s="2" t="s">
        <v>45</v>
      </c>
      <c r="E10" s="2">
        <v>1300000</v>
      </c>
      <c r="F10" s="3">
        <v>0.15</v>
      </c>
      <c r="G10" s="4">
        <f t="shared" si="0"/>
        <v>195000</v>
      </c>
      <c r="H10" s="2">
        <v>13</v>
      </c>
      <c r="I10" s="2" t="s">
        <v>46</v>
      </c>
      <c r="J10" s="2" t="s">
        <v>41</v>
      </c>
      <c r="K10" s="5">
        <v>0</v>
      </c>
      <c r="L10" s="4">
        <f t="shared" si="1"/>
        <v>0</v>
      </c>
    </row>
    <row r="11" spans="1:12" x14ac:dyDescent="0.25">
      <c r="A11" s="6" t="s">
        <v>47</v>
      </c>
      <c r="B11" s="6" t="s">
        <v>48</v>
      </c>
      <c r="C11" s="6" t="s">
        <v>25</v>
      </c>
      <c r="D11" s="6" t="s">
        <v>26</v>
      </c>
      <c r="E11" s="6">
        <v>400000</v>
      </c>
      <c r="F11" s="7">
        <v>0.74</v>
      </c>
      <c r="G11" s="8">
        <f t="shared" si="0"/>
        <v>296000</v>
      </c>
      <c r="H11" s="6">
        <v>6</v>
      </c>
      <c r="I11" s="6" t="s">
        <v>17</v>
      </c>
      <c r="J11" s="6" t="s">
        <v>35</v>
      </c>
      <c r="K11" s="9">
        <v>0.09</v>
      </c>
      <c r="L11" s="8">
        <f t="shared" si="1"/>
        <v>26640</v>
      </c>
    </row>
    <row r="12" spans="1:12" x14ac:dyDescent="0.25">
      <c r="A12" s="2" t="s">
        <v>49</v>
      </c>
      <c r="B12" s="2" t="s">
        <v>50</v>
      </c>
      <c r="C12" s="2" t="s">
        <v>51</v>
      </c>
      <c r="D12" s="2" t="s">
        <v>52</v>
      </c>
      <c r="E12" s="2">
        <v>500000</v>
      </c>
      <c r="F12" s="3">
        <v>0.91</v>
      </c>
      <c r="G12" s="4">
        <f t="shared" si="0"/>
        <v>455000</v>
      </c>
      <c r="H12" s="2">
        <v>14</v>
      </c>
      <c r="I12" s="2" t="s">
        <v>40</v>
      </c>
      <c r="J12" s="2" t="s">
        <v>41</v>
      </c>
      <c r="K12" s="5">
        <v>0</v>
      </c>
      <c r="L12" s="4">
        <f t="shared" si="1"/>
        <v>0</v>
      </c>
    </row>
    <row r="13" spans="1:12" x14ac:dyDescent="0.25">
      <c r="A13" s="6" t="s">
        <v>53</v>
      </c>
      <c r="B13" s="6" t="s">
        <v>54</v>
      </c>
      <c r="C13" s="6" t="s">
        <v>55</v>
      </c>
      <c r="D13" s="6" t="s">
        <v>56</v>
      </c>
      <c r="E13" s="6">
        <v>2100000</v>
      </c>
      <c r="F13" s="7">
        <v>0.04</v>
      </c>
      <c r="G13" s="8">
        <f t="shared" si="0"/>
        <v>84000</v>
      </c>
      <c r="H13" s="6">
        <v>10</v>
      </c>
      <c r="I13" s="6" t="s">
        <v>46</v>
      </c>
      <c r="J13" s="6" t="s">
        <v>41</v>
      </c>
      <c r="K13" s="9">
        <v>0</v>
      </c>
      <c r="L13" s="8">
        <f t="shared" si="1"/>
        <v>0</v>
      </c>
    </row>
    <row r="15" spans="1:12" x14ac:dyDescent="0.25">
      <c r="F15" s="10" t="s">
        <v>57</v>
      </c>
      <c r="G15" s="11">
        <f>SUM(G4:G13)</f>
        <v>4310000</v>
      </c>
      <c r="K15" s="10" t="s">
        <v>58</v>
      </c>
      <c r="L15" s="11">
        <f>SUM(L4:L13)</f>
        <v>342280</v>
      </c>
    </row>
  </sheetData>
  <autoFilter ref="A3:L13" xr:uid="{00000000-0009-0000-0000-000000000000}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5" customWidth="1"/>
    <col min="2" max="2" width="27" customWidth="1"/>
    <col min="3" max="3" width="12" customWidth="1"/>
    <col min="4" max="4" width="18" customWidth="1"/>
    <col min="5" max="7" width="14" customWidth="1"/>
    <col min="8" max="8" width="28" customWidth="1"/>
    <col min="9" max="9" width="27" customWidth="1"/>
    <col min="10" max="10" width="31" customWidth="1"/>
    <col min="11" max="11" width="12" customWidth="1"/>
    <col min="12" max="12" width="18" customWidth="1"/>
  </cols>
  <sheetData>
    <row r="1" spans="1:12" ht="33.950000000000003" customHeight="1" x14ac:dyDescent="0.25">
      <c r="A1" s="23" t="s">
        <v>59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24" customHeight="1" x14ac:dyDescent="0.25">
      <c r="A2" s="21" t="s">
        <v>60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ht="30" x14ac:dyDescent="0.25">
      <c r="A3" s="1" t="s">
        <v>1</v>
      </c>
      <c r="B3" s="1" t="s">
        <v>61</v>
      </c>
      <c r="C3" s="1" t="s">
        <v>62</v>
      </c>
      <c r="D3" s="1" t="s">
        <v>63</v>
      </c>
      <c r="E3" s="1" t="s">
        <v>64</v>
      </c>
      <c r="F3" s="1" t="s">
        <v>65</v>
      </c>
      <c r="G3" s="1" t="s">
        <v>66</v>
      </c>
      <c r="H3" s="1" t="s">
        <v>67</v>
      </c>
      <c r="I3" s="1" t="s">
        <v>68</v>
      </c>
      <c r="J3" s="1" t="s">
        <v>69</v>
      </c>
      <c r="K3" s="1" t="s">
        <v>70</v>
      </c>
      <c r="L3" s="1" t="s">
        <v>71</v>
      </c>
    </row>
    <row r="4" spans="1:12" ht="24" x14ac:dyDescent="0.25">
      <c r="A4" s="2" t="s">
        <v>13</v>
      </c>
      <c r="B4" s="2" t="s">
        <v>72</v>
      </c>
      <c r="C4" s="5">
        <v>0.06</v>
      </c>
      <c r="D4" s="5">
        <v>3.2000000000000001E-2</v>
      </c>
      <c r="E4" s="4">
        <f>Exposure!L4</f>
        <v>59039.999999999993</v>
      </c>
      <c r="F4" s="4">
        <f>Exposure!G4*D4</f>
        <v>31487.999999999996</v>
      </c>
      <c r="G4" s="4">
        <f t="shared" ref="G4:G10" si="0">E4-F4</f>
        <v>27551.999999999996</v>
      </c>
      <c r="H4" s="2" t="s">
        <v>73</v>
      </c>
      <c r="I4" s="2" t="s">
        <v>74</v>
      </c>
      <c r="J4" s="2" t="s">
        <v>75</v>
      </c>
      <c r="K4" s="2" t="s">
        <v>21</v>
      </c>
      <c r="L4" s="2" t="s">
        <v>76</v>
      </c>
    </row>
    <row r="5" spans="1:12" ht="24" x14ac:dyDescent="0.25">
      <c r="A5" s="6" t="s">
        <v>19</v>
      </c>
      <c r="B5" s="6" t="s">
        <v>72</v>
      </c>
      <c r="C5" s="9">
        <v>7.4999999999999997E-2</v>
      </c>
      <c r="D5" s="9">
        <v>2.8000000000000001E-2</v>
      </c>
      <c r="E5" s="8">
        <f>Exposure!L5</f>
        <v>40800</v>
      </c>
      <c r="F5" s="8">
        <f>Exposure!G5*D5</f>
        <v>15232</v>
      </c>
      <c r="G5" s="8">
        <f t="shared" si="0"/>
        <v>25568</v>
      </c>
      <c r="H5" s="6" t="s">
        <v>77</v>
      </c>
      <c r="I5" s="6" t="s">
        <v>78</v>
      </c>
      <c r="J5" s="6" t="s">
        <v>79</v>
      </c>
      <c r="K5" s="6" t="s">
        <v>40</v>
      </c>
      <c r="L5" s="6" t="s">
        <v>80</v>
      </c>
    </row>
    <row r="6" spans="1:12" ht="24" x14ac:dyDescent="0.25">
      <c r="A6" s="2" t="s">
        <v>23</v>
      </c>
      <c r="B6" s="2" t="s">
        <v>81</v>
      </c>
      <c r="C6" s="5">
        <v>0.11</v>
      </c>
      <c r="D6" s="5">
        <v>3.6999999999999998E-2</v>
      </c>
      <c r="E6" s="4">
        <f>Exposure!L6</f>
        <v>50600</v>
      </c>
      <c r="F6" s="4">
        <f>Exposure!G6*D6</f>
        <v>17020</v>
      </c>
      <c r="G6" s="4">
        <f t="shared" si="0"/>
        <v>33580</v>
      </c>
      <c r="H6" s="2" t="s">
        <v>82</v>
      </c>
      <c r="I6" s="2" t="s">
        <v>83</v>
      </c>
      <c r="J6" s="2" t="s">
        <v>84</v>
      </c>
      <c r="K6" s="2" t="s">
        <v>40</v>
      </c>
      <c r="L6" s="2" t="s">
        <v>85</v>
      </c>
    </row>
    <row r="7" spans="1:12" ht="24" x14ac:dyDescent="0.25">
      <c r="A7" s="6" t="s">
        <v>28</v>
      </c>
      <c r="B7" s="6" t="s">
        <v>86</v>
      </c>
      <c r="C7" s="9">
        <v>0.25</v>
      </c>
      <c r="D7" s="9">
        <v>0.25</v>
      </c>
      <c r="E7" s="8">
        <f>Exposure!L7</f>
        <v>66500</v>
      </c>
      <c r="F7" s="8">
        <f>Exposure!G7*D7</f>
        <v>66500</v>
      </c>
      <c r="G7" s="8">
        <f t="shared" si="0"/>
        <v>0</v>
      </c>
      <c r="H7" s="6" t="s">
        <v>87</v>
      </c>
      <c r="I7" s="6" t="s">
        <v>88</v>
      </c>
      <c r="J7" s="6" t="s">
        <v>89</v>
      </c>
      <c r="K7" s="6" t="s">
        <v>40</v>
      </c>
      <c r="L7" s="6" t="s">
        <v>85</v>
      </c>
    </row>
    <row r="8" spans="1:12" ht="24" x14ac:dyDescent="0.25">
      <c r="A8" s="2" t="s">
        <v>33</v>
      </c>
      <c r="B8" s="2" t="s">
        <v>90</v>
      </c>
      <c r="C8" s="5">
        <v>0.35</v>
      </c>
      <c r="D8" s="5">
        <v>0.25</v>
      </c>
      <c r="E8" s="4">
        <f>Exposure!L8</f>
        <v>65099.999999999993</v>
      </c>
      <c r="F8" s="4">
        <f>Exposure!G8*D8</f>
        <v>46500</v>
      </c>
      <c r="G8" s="4">
        <f t="shared" si="0"/>
        <v>18599.999999999993</v>
      </c>
      <c r="H8" s="2" t="s">
        <v>91</v>
      </c>
      <c r="I8" s="2" t="s">
        <v>92</v>
      </c>
      <c r="J8" s="2" t="s">
        <v>93</v>
      </c>
      <c r="K8" s="2" t="s">
        <v>21</v>
      </c>
      <c r="L8" s="2" t="s">
        <v>85</v>
      </c>
    </row>
    <row r="9" spans="1:12" ht="24" x14ac:dyDescent="0.25">
      <c r="A9" s="6" t="s">
        <v>36</v>
      </c>
      <c r="B9" s="6" t="s">
        <v>94</v>
      </c>
      <c r="C9" s="9">
        <v>0.04</v>
      </c>
      <c r="D9" s="9">
        <v>0</v>
      </c>
      <c r="E9" s="8">
        <f>Exposure!L9</f>
        <v>33600</v>
      </c>
      <c r="F9" s="8">
        <v>0</v>
      </c>
      <c r="G9" s="8">
        <f t="shared" si="0"/>
        <v>33600</v>
      </c>
      <c r="H9" s="6" t="s">
        <v>95</v>
      </c>
      <c r="I9" s="6" t="s">
        <v>96</v>
      </c>
      <c r="J9" s="6" t="s">
        <v>97</v>
      </c>
      <c r="K9" s="6" t="s">
        <v>21</v>
      </c>
      <c r="L9" s="6" t="s">
        <v>76</v>
      </c>
    </row>
    <row r="10" spans="1:12" x14ac:dyDescent="0.25">
      <c r="A10" s="2" t="s">
        <v>47</v>
      </c>
      <c r="B10" s="2" t="s">
        <v>98</v>
      </c>
      <c r="C10" s="5">
        <v>0.09</v>
      </c>
      <c r="D10" s="5">
        <v>0</v>
      </c>
      <c r="E10" s="4">
        <f>Exposure!L11</f>
        <v>26640</v>
      </c>
      <c r="F10" s="4">
        <v>0</v>
      </c>
      <c r="G10" s="4">
        <f t="shared" si="0"/>
        <v>26640</v>
      </c>
      <c r="H10" s="2" t="s">
        <v>99</v>
      </c>
      <c r="I10" s="2" t="s">
        <v>100</v>
      </c>
      <c r="J10" s="2" t="s">
        <v>101</v>
      </c>
      <c r="K10" s="2" t="s">
        <v>21</v>
      </c>
      <c r="L10" s="2" t="s">
        <v>85</v>
      </c>
    </row>
    <row r="12" spans="1:12" x14ac:dyDescent="0.25">
      <c r="D12" s="10" t="s">
        <v>57</v>
      </c>
      <c r="E12" s="11">
        <f>SUM(E4:E10)</f>
        <v>342280</v>
      </c>
      <c r="F12" s="11">
        <f>SUM(F4:F10)</f>
        <v>176740</v>
      </c>
      <c r="G12" s="11">
        <f>SUM(G4:G10)</f>
        <v>165540</v>
      </c>
    </row>
  </sheetData>
  <autoFilter ref="A3:L10" xr:uid="{00000000-0009-0000-0000-000001000000}"/>
  <mergeCells count="2">
    <mergeCell ref="A2:L2"/>
    <mergeCell ref="A1:L1"/>
  </mergeCells>
  <conditionalFormatting sqref="G4:G10">
    <cfRule type="colorScale" priority="1">
      <colorScale>
        <cfvo type="min"/>
        <cfvo type="percentile" val="50"/>
        <cfvo type="max"/>
        <color rgb="FFE5F4EA"/>
        <color rgb="FFFFF2D8"/>
        <color rgb="FFF9D7D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0" customWidth="1"/>
    <col min="2" max="2" width="29" customWidth="1"/>
    <col min="3" max="4" width="28" customWidth="1"/>
    <col min="5" max="6" width="24" customWidth="1"/>
    <col min="7" max="7" width="29" customWidth="1"/>
    <col min="8" max="8" width="19" customWidth="1"/>
  </cols>
  <sheetData>
    <row r="1" spans="1:12" ht="33.950000000000003" customHeight="1" x14ac:dyDescent="0.25">
      <c r="A1" s="23" t="s">
        <v>102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24" customHeight="1" x14ac:dyDescent="0.25">
      <c r="A2" s="21" t="s">
        <v>103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ht="30" x14ac:dyDescent="0.25">
      <c r="A3" s="1" t="s">
        <v>104</v>
      </c>
      <c r="B3" s="1" t="s">
        <v>105</v>
      </c>
      <c r="C3" s="1" t="s">
        <v>106</v>
      </c>
      <c r="D3" s="1" t="s">
        <v>107</v>
      </c>
      <c r="E3" s="1" t="s">
        <v>108</v>
      </c>
      <c r="F3" s="1" t="s">
        <v>109</v>
      </c>
      <c r="G3" s="1" t="s">
        <v>110</v>
      </c>
      <c r="H3" s="1" t="s">
        <v>111</v>
      </c>
    </row>
    <row r="4" spans="1:12" ht="24" x14ac:dyDescent="0.25">
      <c r="A4" s="2">
        <v>1</v>
      </c>
      <c r="B4" s="2" t="s">
        <v>112</v>
      </c>
      <c r="C4" s="2" t="s">
        <v>113</v>
      </c>
      <c r="D4" s="2" t="s">
        <v>114</v>
      </c>
      <c r="E4" s="2" t="s">
        <v>115</v>
      </c>
      <c r="F4" s="2" t="s">
        <v>116</v>
      </c>
      <c r="G4" s="2" t="s">
        <v>117</v>
      </c>
      <c r="H4" s="2" t="s">
        <v>118</v>
      </c>
    </row>
    <row r="5" spans="1:12" ht="24" x14ac:dyDescent="0.25">
      <c r="A5" s="6">
        <v>2</v>
      </c>
      <c r="B5" s="6" t="s">
        <v>119</v>
      </c>
      <c r="C5" s="6" t="s">
        <v>120</v>
      </c>
      <c r="D5" s="6" t="s">
        <v>121</v>
      </c>
      <c r="E5" s="6" t="s">
        <v>122</v>
      </c>
      <c r="F5" s="6" t="s">
        <v>123</v>
      </c>
      <c r="G5" s="6" t="s">
        <v>124</v>
      </c>
      <c r="H5" s="6" t="s">
        <v>76</v>
      </c>
    </row>
    <row r="6" spans="1:12" x14ac:dyDescent="0.25">
      <c r="A6" s="2">
        <v>3</v>
      </c>
      <c r="B6" s="2" t="s">
        <v>125</v>
      </c>
      <c r="C6" s="2" t="s">
        <v>126</v>
      </c>
      <c r="D6" s="2" t="s">
        <v>127</v>
      </c>
      <c r="E6" s="2" t="s">
        <v>128</v>
      </c>
      <c r="F6" s="2" t="s">
        <v>129</v>
      </c>
      <c r="G6" s="2" t="s">
        <v>130</v>
      </c>
      <c r="H6" s="2" t="s">
        <v>131</v>
      </c>
    </row>
    <row r="7" spans="1:12" ht="24" x14ac:dyDescent="0.25">
      <c r="A7" s="6">
        <v>4</v>
      </c>
      <c r="B7" s="6" t="s">
        <v>132</v>
      </c>
      <c r="C7" s="6" t="s">
        <v>133</v>
      </c>
      <c r="D7" s="6" t="s">
        <v>134</v>
      </c>
      <c r="E7" s="6" t="s">
        <v>135</v>
      </c>
      <c r="F7" s="6" t="s">
        <v>136</v>
      </c>
      <c r="G7" s="6" t="s">
        <v>137</v>
      </c>
      <c r="H7" s="6" t="s">
        <v>138</v>
      </c>
    </row>
    <row r="8" spans="1:12" ht="24" x14ac:dyDescent="0.25">
      <c r="A8" s="2">
        <v>5</v>
      </c>
      <c r="B8" s="2" t="s">
        <v>139</v>
      </c>
      <c r="C8" s="2" t="s">
        <v>140</v>
      </c>
      <c r="D8" s="2" t="s">
        <v>141</v>
      </c>
      <c r="E8" s="2" t="s">
        <v>142</v>
      </c>
      <c r="F8" s="2" t="s">
        <v>143</v>
      </c>
      <c r="G8" s="2" t="s">
        <v>144</v>
      </c>
      <c r="H8" s="2" t="s">
        <v>145</v>
      </c>
    </row>
  </sheetData>
  <autoFilter ref="A3:H8" xr:uid="{00000000-0009-0000-0000-000002000000}"/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28" customWidth="1"/>
    <col min="2" max="2" width="23" customWidth="1"/>
    <col min="3" max="3" width="12" customWidth="1"/>
    <col min="4" max="5" width="10" customWidth="1"/>
    <col min="6" max="6" width="28" customWidth="1"/>
    <col min="7" max="7" width="25" customWidth="1"/>
    <col min="8" max="8" width="31" customWidth="1"/>
    <col min="9" max="9" width="18" customWidth="1"/>
    <col min="10" max="10" width="15" customWidth="1"/>
    <col min="11" max="11" width="13" customWidth="1"/>
    <col min="12" max="12" width="25" customWidth="1"/>
  </cols>
  <sheetData>
    <row r="1" spans="1:12" ht="33.950000000000003" customHeight="1" x14ac:dyDescent="0.25">
      <c r="A1" s="23" t="s">
        <v>146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24" customHeight="1" x14ac:dyDescent="0.25">
      <c r="A2" s="21" t="s">
        <v>147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x14ac:dyDescent="0.25">
      <c r="A3" s="1" t="s">
        <v>148</v>
      </c>
      <c r="B3" s="1" t="s">
        <v>149</v>
      </c>
      <c r="C3" s="1" t="s">
        <v>150</v>
      </c>
      <c r="D3" s="1" t="s">
        <v>151</v>
      </c>
      <c r="E3" s="1" t="s">
        <v>152</v>
      </c>
      <c r="F3" s="1" t="s">
        <v>153</v>
      </c>
      <c r="G3" s="1" t="s">
        <v>154</v>
      </c>
      <c r="H3" s="1" t="s">
        <v>155</v>
      </c>
      <c r="I3" s="1" t="s">
        <v>71</v>
      </c>
      <c r="J3" s="1" t="s">
        <v>156</v>
      </c>
      <c r="K3" s="1" t="s">
        <v>157</v>
      </c>
      <c r="L3" s="1" t="s">
        <v>158</v>
      </c>
    </row>
    <row r="4" spans="1:12" ht="24" x14ac:dyDescent="0.25">
      <c r="A4" s="2" t="s">
        <v>159</v>
      </c>
      <c r="B4" s="2" t="s">
        <v>160</v>
      </c>
      <c r="C4" s="2">
        <v>4</v>
      </c>
      <c r="D4" s="2">
        <v>5</v>
      </c>
      <c r="E4" s="2">
        <f t="shared" ref="E4:E9" si="0">C4*D4</f>
        <v>20</v>
      </c>
      <c r="F4" s="2" t="s">
        <v>161</v>
      </c>
      <c r="G4" s="2" t="s">
        <v>162</v>
      </c>
      <c r="H4" s="2" t="s">
        <v>163</v>
      </c>
      <c r="I4" s="2" t="s">
        <v>138</v>
      </c>
      <c r="J4" s="12">
        <v>46262</v>
      </c>
      <c r="K4" s="2" t="s">
        <v>164</v>
      </c>
      <c r="L4" s="2" t="s">
        <v>165</v>
      </c>
    </row>
    <row r="5" spans="1:12" x14ac:dyDescent="0.25">
      <c r="A5" s="6" t="s">
        <v>166</v>
      </c>
      <c r="B5" s="6" t="s">
        <v>167</v>
      </c>
      <c r="C5" s="6">
        <v>3</v>
      </c>
      <c r="D5" s="6">
        <v>5</v>
      </c>
      <c r="E5" s="6">
        <f t="shared" si="0"/>
        <v>15</v>
      </c>
      <c r="F5" s="6" t="s">
        <v>168</v>
      </c>
      <c r="G5" s="6" t="s">
        <v>169</v>
      </c>
      <c r="H5" s="6" t="s">
        <v>170</v>
      </c>
      <c r="I5" s="6" t="s">
        <v>76</v>
      </c>
      <c r="J5" s="13">
        <v>46260</v>
      </c>
      <c r="K5" s="6" t="s">
        <v>164</v>
      </c>
      <c r="L5" s="6" t="s">
        <v>171</v>
      </c>
    </row>
    <row r="6" spans="1:12" x14ac:dyDescent="0.25">
      <c r="A6" s="2" t="s">
        <v>172</v>
      </c>
      <c r="B6" s="2" t="s">
        <v>173</v>
      </c>
      <c r="C6" s="2">
        <v>4</v>
      </c>
      <c r="D6" s="2">
        <v>4</v>
      </c>
      <c r="E6" s="2">
        <f t="shared" si="0"/>
        <v>16</v>
      </c>
      <c r="F6" s="2" t="s">
        <v>174</v>
      </c>
      <c r="G6" s="2" t="s">
        <v>175</v>
      </c>
      <c r="H6" s="2" t="s">
        <v>176</v>
      </c>
      <c r="I6" s="2" t="s">
        <v>85</v>
      </c>
      <c r="J6" s="12">
        <v>46259</v>
      </c>
      <c r="K6" s="2" t="s">
        <v>164</v>
      </c>
      <c r="L6" s="2" t="s">
        <v>177</v>
      </c>
    </row>
    <row r="7" spans="1:12" ht="24" x14ac:dyDescent="0.25">
      <c r="A7" s="6" t="s">
        <v>178</v>
      </c>
      <c r="B7" s="6" t="s">
        <v>179</v>
      </c>
      <c r="C7" s="6">
        <v>3</v>
      </c>
      <c r="D7" s="6">
        <v>3</v>
      </c>
      <c r="E7" s="6">
        <f t="shared" si="0"/>
        <v>9</v>
      </c>
      <c r="F7" s="6" t="s">
        <v>180</v>
      </c>
      <c r="G7" s="6" t="s">
        <v>181</v>
      </c>
      <c r="H7" s="6" t="s">
        <v>182</v>
      </c>
      <c r="I7" s="6" t="s">
        <v>80</v>
      </c>
      <c r="J7" s="13">
        <v>46258</v>
      </c>
      <c r="K7" s="6" t="s">
        <v>164</v>
      </c>
      <c r="L7" s="6" t="s">
        <v>183</v>
      </c>
    </row>
    <row r="8" spans="1:12" x14ac:dyDescent="0.25">
      <c r="A8" s="2" t="s">
        <v>184</v>
      </c>
      <c r="B8" s="2" t="s">
        <v>185</v>
      </c>
      <c r="C8" s="2">
        <v>2</v>
      </c>
      <c r="D8" s="2">
        <v>5</v>
      </c>
      <c r="E8" s="2">
        <f t="shared" si="0"/>
        <v>10</v>
      </c>
      <c r="F8" s="2" t="s">
        <v>186</v>
      </c>
      <c r="G8" s="2" t="s">
        <v>187</v>
      </c>
      <c r="H8" s="2" t="s">
        <v>188</v>
      </c>
      <c r="I8" s="2" t="s">
        <v>118</v>
      </c>
      <c r="J8" s="12">
        <v>46261</v>
      </c>
      <c r="K8" s="2" t="s">
        <v>164</v>
      </c>
      <c r="L8" s="2" t="s">
        <v>189</v>
      </c>
    </row>
    <row r="9" spans="1:12" x14ac:dyDescent="0.25">
      <c r="A9" s="6" t="s">
        <v>190</v>
      </c>
      <c r="B9" s="6" t="s">
        <v>191</v>
      </c>
      <c r="C9" s="6">
        <v>3</v>
      </c>
      <c r="D9" s="6">
        <v>4</v>
      </c>
      <c r="E9" s="6">
        <f t="shared" si="0"/>
        <v>12</v>
      </c>
      <c r="F9" s="6" t="s">
        <v>192</v>
      </c>
      <c r="G9" s="6" t="s">
        <v>193</v>
      </c>
      <c r="H9" s="6" t="s">
        <v>194</v>
      </c>
      <c r="I9" s="6" t="s">
        <v>195</v>
      </c>
      <c r="J9" s="13">
        <v>46280</v>
      </c>
      <c r="K9" s="6" t="s">
        <v>196</v>
      </c>
      <c r="L9" s="6" t="s">
        <v>197</v>
      </c>
    </row>
  </sheetData>
  <autoFilter ref="A3:L9" xr:uid="{00000000-0009-0000-0000-000003000000}"/>
  <mergeCells count="2">
    <mergeCell ref="A2:L2"/>
    <mergeCell ref="A1:L1"/>
  </mergeCells>
  <conditionalFormatting sqref="E4:E9">
    <cfRule type="colorScale" priority="1">
      <colorScale>
        <cfvo type="min"/>
        <cfvo type="percentile" val="50"/>
        <cfvo type="max"/>
        <color rgb="FFE5F4EA"/>
        <color rgb="FFFFF2D8"/>
        <color rgb="FFF9D7DC"/>
      </colorScale>
    </cfRule>
  </conditionalFormatting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5"/>
  <sheetViews>
    <sheetView showGridLines="0" workbookViewId="0"/>
  </sheetViews>
  <sheetFormatPr defaultRowHeight="15" x14ac:dyDescent="0.25"/>
  <cols>
    <col min="1" max="1" width="34" customWidth="1"/>
    <col min="2" max="2" width="22" customWidth="1"/>
  </cols>
  <sheetData>
    <row r="1" spans="1:12" ht="33.950000000000003" customHeight="1" x14ac:dyDescent="0.25">
      <c r="A1" s="23" t="s">
        <v>198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24" customHeight="1" x14ac:dyDescent="0.25">
      <c r="A2" s="21" t="s">
        <v>199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4" spans="1:12" ht="30" customHeight="1" x14ac:dyDescent="0.25">
      <c r="A4" s="14" t="s">
        <v>200</v>
      </c>
      <c r="B4" s="15">
        <f>SUM(Exposure!G4:G13)</f>
        <v>4310000</v>
      </c>
    </row>
    <row r="5" spans="1:12" ht="30" customHeight="1" x14ac:dyDescent="0.25">
      <c r="A5" s="16" t="s">
        <v>201</v>
      </c>
      <c r="B5" s="17">
        <f>SUM(Claim_Audit!E4:E10)</f>
        <v>342280</v>
      </c>
    </row>
    <row r="6" spans="1:12" ht="30" customHeight="1" x14ac:dyDescent="0.25">
      <c r="A6" s="14" t="s">
        <v>202</v>
      </c>
      <c r="B6" s="15">
        <f>SUM(Claim_Audit!F4:F10)</f>
        <v>176740</v>
      </c>
    </row>
    <row r="7" spans="1:12" ht="30" customHeight="1" x14ac:dyDescent="0.25">
      <c r="A7" s="16" t="s">
        <v>203</v>
      </c>
      <c r="B7" s="17">
        <f>SUM(Claim_Audit!G4:G10)</f>
        <v>165540</v>
      </c>
    </row>
    <row r="8" spans="1:12" ht="30" customHeight="1" x14ac:dyDescent="0.25">
      <c r="A8" s="14" t="s">
        <v>204</v>
      </c>
      <c r="B8" s="18">
        <f>COUNTIFS(Exposure!H4:H13,"&lt;8",Exposure!I4:I13,"Launch critical")</f>
        <v>3</v>
      </c>
    </row>
    <row r="9" spans="1:12" ht="30" customHeight="1" x14ac:dyDescent="0.25">
      <c r="A9" s="16" t="s">
        <v>205</v>
      </c>
      <c r="B9" s="19">
        <f>MAX(Risk_Tripwires!E4:E9)</f>
        <v>20</v>
      </c>
    </row>
    <row r="12" spans="1:12" ht="18.75" x14ac:dyDescent="0.3">
      <c r="A12" s="20" t="s">
        <v>206</v>
      </c>
    </row>
    <row r="13" spans="1:12" x14ac:dyDescent="0.25">
      <c r="A13" s="24" t="s">
        <v>207</v>
      </c>
      <c r="B13" s="22"/>
      <c r="C13" s="22"/>
      <c r="D13" s="22"/>
      <c r="E13" s="22"/>
      <c r="F13" s="22"/>
      <c r="G13" s="22"/>
      <c r="H13" s="22"/>
    </row>
    <row r="14" spans="1:12" x14ac:dyDescent="0.25">
      <c r="A14" s="22"/>
      <c r="B14" s="22"/>
      <c r="C14" s="22"/>
      <c r="D14" s="22"/>
      <c r="E14" s="22"/>
      <c r="F14" s="22"/>
      <c r="G14" s="22"/>
      <c r="H14" s="22"/>
    </row>
    <row r="15" spans="1:12" x14ac:dyDescent="0.25">
      <c r="A15" s="22"/>
      <c r="B15" s="22"/>
      <c r="C15" s="22"/>
      <c r="D15" s="22"/>
      <c r="E15" s="22"/>
      <c r="F15" s="22"/>
      <c r="G15" s="22"/>
      <c r="H15" s="22"/>
    </row>
  </sheetData>
  <mergeCells count="3">
    <mergeCell ref="A13:H15"/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22" customWidth="1"/>
    <col min="2" max="2" width="25" customWidth="1"/>
    <col min="3" max="3" width="52" customWidth="1"/>
    <col min="4" max="4" width="22" customWidth="1"/>
    <col min="5" max="5" width="50" customWidth="1"/>
  </cols>
  <sheetData>
    <row r="1" spans="1:12" ht="33.950000000000003" customHeight="1" x14ac:dyDescent="0.25">
      <c r="A1" s="23" t="s">
        <v>208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24" customHeight="1" x14ac:dyDescent="0.25">
      <c r="A2" s="21" t="s">
        <v>209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x14ac:dyDescent="0.25">
      <c r="A3" s="1" t="s">
        <v>210</v>
      </c>
      <c r="B3" s="1" t="s">
        <v>211</v>
      </c>
      <c r="C3" s="1" t="s">
        <v>212</v>
      </c>
      <c r="D3" s="1" t="s">
        <v>213</v>
      </c>
      <c r="E3" s="1" t="s">
        <v>214</v>
      </c>
    </row>
    <row r="4" spans="1:12" x14ac:dyDescent="0.25">
      <c r="A4" s="2" t="s">
        <v>149</v>
      </c>
      <c r="B4" s="2" t="s">
        <v>215</v>
      </c>
      <c r="C4" s="2" t="s">
        <v>216</v>
      </c>
      <c r="D4" s="2" t="s">
        <v>217</v>
      </c>
      <c r="E4" s="2" t="s">
        <v>218</v>
      </c>
    </row>
    <row r="5" spans="1:12" x14ac:dyDescent="0.25">
      <c r="A5" s="6" t="s">
        <v>149</v>
      </c>
      <c r="B5" s="6" t="s">
        <v>12</v>
      </c>
      <c r="C5" s="6" t="s">
        <v>219</v>
      </c>
      <c r="D5" s="6" t="s">
        <v>220</v>
      </c>
      <c r="E5" s="6" t="s">
        <v>221</v>
      </c>
    </row>
    <row r="6" spans="1:12" x14ac:dyDescent="0.25">
      <c r="A6" s="2" t="s">
        <v>222</v>
      </c>
      <c r="B6" s="2" t="s">
        <v>63</v>
      </c>
      <c r="C6" s="2" t="s">
        <v>223</v>
      </c>
      <c r="D6" s="2" t="s">
        <v>217</v>
      </c>
      <c r="E6" s="2" t="s">
        <v>224</v>
      </c>
    </row>
    <row r="7" spans="1:12" ht="24" x14ac:dyDescent="0.25">
      <c r="A7" s="6" t="s">
        <v>222</v>
      </c>
      <c r="B7" s="6" t="s">
        <v>70</v>
      </c>
      <c r="C7" s="6" t="s">
        <v>225</v>
      </c>
      <c r="D7" s="6" t="s">
        <v>226</v>
      </c>
      <c r="E7" s="6" t="s">
        <v>227</v>
      </c>
    </row>
    <row r="8" spans="1:12" x14ac:dyDescent="0.25">
      <c r="A8" s="2" t="s">
        <v>228</v>
      </c>
      <c r="B8" s="2" t="s">
        <v>229</v>
      </c>
      <c r="C8" s="2" t="s">
        <v>230</v>
      </c>
      <c r="D8" s="2" t="s">
        <v>217</v>
      </c>
      <c r="E8" s="2" t="s">
        <v>231</v>
      </c>
    </row>
    <row r="9" spans="1:12" x14ac:dyDescent="0.25">
      <c r="A9" s="6" t="s">
        <v>232</v>
      </c>
      <c r="B9" s="6" t="s">
        <v>233</v>
      </c>
      <c r="C9" s="6" t="s">
        <v>234</v>
      </c>
      <c r="D9" s="6" t="s">
        <v>235</v>
      </c>
      <c r="E9" s="6" t="s">
        <v>236</v>
      </c>
    </row>
    <row r="10" spans="1:12" x14ac:dyDescent="0.25">
      <c r="A10" s="2" t="s">
        <v>237</v>
      </c>
      <c r="B10" s="2" t="s">
        <v>238</v>
      </c>
      <c r="C10" s="2" t="s">
        <v>239</v>
      </c>
      <c r="D10" s="2" t="s">
        <v>240</v>
      </c>
      <c r="E10" s="2" t="s">
        <v>241</v>
      </c>
    </row>
  </sheetData>
  <autoFilter ref="A3:E10" xr:uid="{00000000-0009-0000-0000-000005000000}"/>
  <mergeCells count="2">
    <mergeCell ref="A2:L2"/>
    <mergeCell ref="A1:L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Exposure</vt:lpstr>
      <vt:lpstr>Claim_Audit</vt:lpstr>
      <vt:lpstr>Negotiation_Ladder</vt:lpstr>
      <vt:lpstr>Risk_Tripwires</vt:lpstr>
      <vt:lpstr>Executive_Snapshot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Rea</cp:lastModifiedBy>
  <dcterms:created xsi:type="dcterms:W3CDTF">2026-08-17T21:45:25Z</dcterms:created>
  <dcterms:modified xsi:type="dcterms:W3CDTF">2026-08-18T23:38:53Z</dcterms:modified>
</cp:coreProperties>
</file>